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체크리스트" sheetId="1" r:id="rId1"/>
    <sheet name="대시보드" sheetId="2" r:id="rId2"/>
  </sheets>
  <definedNames>
    <definedName name="_xlnm._FilterDatabase" localSheetId="0" hidden="1">'체크리스트'!A1:H51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General"/>
    <numFmt numFmtId="165" formatCode="yyyy\-mm\-dd"/>
    <numFmt numFmtId="166" formatCode="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workbookViewId="0" rightToLeft="0"/>
  </sheetViews>
  <sheetData>
    <row r="1">
      <c r="A1" s="1" t="str">
        <v>No</v>
      </c>
      <c r="B1" s="1" t="str">
        <v>Phase</v>
      </c>
      <c r="C1" s="1" t="str">
        <v>단계명</v>
      </c>
      <c r="D1" s="1" t="str">
        <v>구분</v>
      </c>
      <c r="E1" s="1" t="str">
        <v>체크 항목</v>
      </c>
      <c r="F1" s="1" t="str">
        <v>상태</v>
      </c>
      <c r="G1" s="1" t="str">
        <v>완료일</v>
      </c>
      <c r="H1" s="1" t="str">
        <v>비고</v>
      </c>
    </row>
    <row r="2">
      <c r="A2" s="1">
        <v>1</v>
      </c>
      <c r="B2" s="1">
        <v>0</v>
      </c>
      <c r="C2" s="1" t="str">
        <v>요구사항 정의</v>
      </c>
      <c r="E2" s="1" t="str">
        <v>목표 클럭 속도 결정 — 100kHz(Standard) vs 400kHz(Fast), FPGA 시스템 클럭 대비 분주 가능한 값인지 확인</v>
      </c>
      <c r="F2" s="1" t="str">
        <v>완료</v>
      </c>
      <c r="G2" s="1" t="str">
        <v>2026-09-04</v>
      </c>
      <c r="H2" s="1" t="str">
        <v>FCLK=400kHz(Fast mode) 확정. Industrial(I) 등급, 2.5V&lt;=VCC&lt;=5.5V 조건 선택 (Automotive/E 등급은 100kHz로 제한되므로 배제)</v>
      </c>
    </row>
    <row r="3">
      <c r="A3" s="1">
        <v>2</v>
      </c>
      <c r="B3" s="1">
        <v>0</v>
      </c>
      <c r="C3" s="1" t="str">
        <v>요구사항 정의</v>
      </c>
      <c r="E3" s="1" t="str">
        <v>구현 범위 확정 — Byte Write / Page Write(최대 64B) / Current·Random·Sequential Read 중 어디까지 만들지</v>
      </c>
      <c r="F3" s="1" t="str">
        <v>완료</v>
      </c>
      <c r="H3" s="1" t="str">
        <v>Byte Write + Random Read + Current Address Read 3종만 구현 확정. Page Write/Sequential Read는 추후 확장 과제로 보류 (이전 세션 결정)</v>
      </c>
    </row>
    <row r="4">
      <c r="A4" s="1">
        <v>3</v>
      </c>
      <c r="B4" s="1">
        <v>0</v>
      </c>
      <c r="C4" s="1" t="str">
        <v>요구사항 정의</v>
      </c>
      <c r="E4" s="1" t="str">
        <v>상위 유저 로직 커맨드 인터페이스 초안 — start, rw, addr[14:0], wdata/rdata[7:0], busy/done</v>
      </c>
      <c r="F4" s="1" t="str">
        <v>완료</v>
      </c>
      <c r="H4" s="1" t="str">
        <v>Eep24AA256 커맨드 인터페이스 초안: cmd[1:0], addr[14:0], wdata[7:0], start, busy, done, rdata[7:0], nack_err (이전 세션 결정)</v>
      </c>
    </row>
    <row r="5">
      <c r="A5" s="1">
        <v>4</v>
      </c>
      <c r="B5" s="1">
        <v>0</v>
      </c>
      <c r="C5" s="1" t="str">
        <v>요구사항 정의</v>
      </c>
      <c r="E5" s="1" t="str">
        <v>대상 디바이스 확정 — 24LC256, 슬레이브 주소 1010+A2A1A0</v>
      </c>
      <c r="F5" s="1" t="str">
        <v>완료</v>
      </c>
      <c r="H5" s="1" t="str">
        <v>24LC256 확정. 슬레이브주소 1010+A2A1A0(A2A1A0=000 가정, 보드 미확정). Vcc 2.5~5.5V, FCLK&lt;=400kHz, TR&lt;=300ns, 클럭스트레칭 미지원 (이전 세션 결정)</v>
      </c>
    </row>
    <row r="6">
      <c r="A6" s="1">
        <v>5</v>
      </c>
      <c r="B6" s="1">
        <v>0</v>
      </c>
      <c r="C6" s="1" t="str">
        <v>요구사항 정의</v>
      </c>
      <c r="E6" s="1" t="str">
        <v>검증 방식 확정 — 실칩 없음 → TB 비헤이비어 모델 기반 시뮬레이션 검증으로 진행</v>
      </c>
      <c r="F6" s="1" t="str">
        <v>완료</v>
      </c>
      <c r="H6" s="1" t="str">
        <v>실칩 없음 -&gt; TB 비헤이비어 모델 기반 검증으로 확정. 기존 AP textio TB(P/W/R 커맨드 파일) 방식 재사용 + EEPROM 비헤이비어 모델 별도 작성 예정 (이전 세션 결정)</v>
      </c>
    </row>
    <row r="7">
      <c r="A7" s="1">
        <v>6</v>
      </c>
      <c r="B7" s="1">
        <v>1</v>
      </c>
      <c r="C7" s="1" t="str">
        <v>데이터시트 스터디(DS21203C)</v>
      </c>
      <c r="D7" s="1" t="str">
        <v>핀/전기적 특성</v>
      </c>
      <c r="E7" s="1" t="str">
        <v>Table 1-1 핀 기능 — SDA, SCL, A0~A2(칩 셀렉트), WP (WP는 Vcc 연결 시 전체 쓰기 보호)</v>
      </c>
      <c r="F7" s="1" t="str">
        <v>대기</v>
      </c>
    </row>
    <row r="8">
      <c r="A8" s="1">
        <v>7</v>
      </c>
      <c r="B8" s="1">
        <v>1</v>
      </c>
      <c r="C8" s="1" t="str">
        <v>데이터시트 스터디(DS21203C)</v>
      </c>
      <c r="D8" s="1" t="str">
        <v>핀/전기적 특성</v>
      </c>
      <c r="E8" s="1" t="str">
        <v>Table 1-3 AC 특성 — FCLK, THIGH, TLOW, TSU:STA, THD:STA, TSU:STO, TBUF 값 정리 (분주값 계산용)</v>
      </c>
      <c r="F8" s="1" t="str">
        <v>완료</v>
      </c>
      <c r="G8" s="1" t="str">
        <v>2026-09-04</v>
      </c>
      <c r="H8" s="1" t="str">
        <v>조건: Industrial, 2.5V&lt;=VCC&lt;=5.5V, FCLK=400kHz. THIGH&gt;=600ns, TLOW&gt;=1300ns, TR&lt;=300ns, TF&lt;=300ns, THD:STA&gt;=600ns, TSU:STA&gt;=600ns, TSU:DAT&gt;=100ns, THD:DAT&gt;=0ns, TSU:STO&gt;=600ns, TBUF&gt;=1300ns, TAA&lt;=900ns, TWC&lt;=5ms</v>
      </c>
    </row>
    <row r="9">
      <c r="A9" s="1">
        <v>8</v>
      </c>
      <c r="B9" s="1">
        <v>1</v>
      </c>
      <c r="C9" s="1" t="str">
        <v>데이터시트 스터디(DS21203C)</v>
      </c>
      <c r="D9" s="1" t="str">
        <v>프로토콜 구조</v>
      </c>
      <c r="E9" s="1" t="str">
        <v>Figure 4-1/4-2 — START·STOP·ACK 기본 타이밍 정의</v>
      </c>
      <c r="F9" s="1" t="str">
        <v>완료</v>
      </c>
      <c r="G9" s="1" t="str">
        <v>2026-09-04</v>
      </c>
      <c r="H9" s="1" t="str">
        <v>Bus not busy/START/STOP/Data Valid 규칙(4.1~4.4) + ACK 9클럭 구조(4.5, Fig4-2) 확인 완료</v>
      </c>
    </row>
    <row r="10">
      <c r="A10" s="1">
        <v>9</v>
      </c>
      <c r="B10" s="1">
        <v>1</v>
      </c>
      <c r="C10" s="1" t="str">
        <v>데이터시트 스터디(DS21203C)</v>
      </c>
      <c r="D10" s="1" t="str">
        <v>프로토콜 구조</v>
      </c>
      <c r="E10" s="1" t="str">
        <v>Figure 5-1 컨트롤 바이트 — 1010 + A2A1A0 + R/W̄</v>
      </c>
      <c r="F10" s="1" t="str">
        <v>완료</v>
      </c>
      <c r="H10" s="1" t="str">
        <v>컨트롤바이트 = 1010 + A2A1A0 + R/W-bar 확인 (이전 세션)</v>
      </c>
    </row>
    <row r="11">
      <c r="A11" s="1">
        <v>10</v>
      </c>
      <c r="B11" s="1">
        <v>1</v>
      </c>
      <c r="C11" s="1" t="str">
        <v>데이터시트 스터디(DS21203C)</v>
      </c>
      <c r="D11" s="1" t="str">
        <v>프로토콜 구조</v>
      </c>
      <c r="E11" s="1" t="str">
        <v>Figure 5-2 주소 구조 — 2바이트(Address High/Low), A14~A0 15비트 유효, 상위 1비트 don't-care</v>
      </c>
      <c r="F11" s="1" t="str">
        <v>완료</v>
      </c>
      <c r="H11" s="1" t="str">
        <v>2바이트 주소(Address High/Low), A14~A0 15비트 유효, 상위 1비트 don't-care 확인 (이전 세션)</v>
      </c>
    </row>
    <row r="12">
      <c r="A12" s="1">
        <v>11</v>
      </c>
      <c r="B12" s="1">
        <v>1</v>
      </c>
      <c r="C12" s="1" t="str">
        <v>데이터시트 스터디(DS21203C)</v>
      </c>
      <c r="D12" s="1" t="str">
        <v>오퍼레이션 시퀀스</v>
      </c>
      <c r="E12" s="1" t="str">
        <v>Figure 6-1 Byte Write 시퀀스</v>
      </c>
      <c r="F12" s="1" t="str">
        <v>완료</v>
      </c>
      <c r="H12" s="1" t="str">
        <v>Byte Write 시퀀스 확인 (이전 세션)</v>
      </c>
    </row>
    <row r="13">
      <c r="A13" s="1">
        <v>12</v>
      </c>
      <c r="B13" s="1">
        <v>1</v>
      </c>
      <c r="C13" s="1" t="str">
        <v>데이터시트 스터디(DS21203C)</v>
      </c>
      <c r="D13" s="1" t="str">
        <v>오퍼레이션 시퀀스</v>
      </c>
      <c r="E13" s="1" t="str">
        <v>Figure 6-2 Page Write 시퀀스 — 최대 64바이트, 경계 초과 시 롤오버 주의</v>
      </c>
      <c r="F13" s="1" t="str">
        <v>완료</v>
      </c>
      <c r="H13" s="1" t="str">
        <v>Page Write(최대 64B, 경계 롤오버 주의) 데이터시트 스터디는 완료. 단, 구현 범위에서는 보류</v>
      </c>
    </row>
    <row r="14">
      <c r="A14" s="1">
        <v>13</v>
      </c>
      <c r="B14" s="1">
        <v>1</v>
      </c>
      <c r="C14" s="1" t="str">
        <v>데이터시트 스터디(DS21203C)</v>
      </c>
      <c r="D14" s="1" t="str">
        <v>오퍼레이션 시퀀스</v>
      </c>
      <c r="E14" s="1" t="str">
        <v>Figure 7-1 ACK Polling — 최대 5ms 쓰기 사이클 완료 감지에 활용</v>
      </c>
      <c r="F14" s="1" t="str">
        <v>완료</v>
      </c>
      <c r="H14" s="1" t="str">
        <v>ACK Polling(최대 5ms 쓰기 완료 감지) 확인 (이전 세션)</v>
      </c>
    </row>
    <row r="15">
      <c r="A15" s="1">
        <v>14</v>
      </c>
      <c r="B15" s="1">
        <v>1</v>
      </c>
      <c r="C15" s="1" t="str">
        <v>데이터시트 스터디(DS21203C)</v>
      </c>
      <c r="D15" s="1" t="str">
        <v>오퍼레이션 시퀀스</v>
      </c>
      <c r="E15" s="1" t="str">
        <v>Figure 8-1~8-3 Read 3종 — Random Read는 Repeated START, Sequential Read는 마지막에 NACK</v>
      </c>
      <c r="F15" s="1" t="str">
        <v>완료</v>
      </c>
      <c r="H15" s="1" t="str">
        <v>Current/Random/Sequential Read 3종 확인 - Random은 Repeated START, Sequential은 마지막 마스터 NACK로 종료 (이전 세션)</v>
      </c>
    </row>
    <row r="16">
      <c r="A16" s="1">
        <v>15</v>
      </c>
      <c r="B16" s="1">
        <v>2</v>
      </c>
      <c r="C16" s="1" t="str">
        <v>블록 다이어그램 설계</v>
      </c>
      <c r="E16" s="1" t="str">
        <v>시스템 레벨 — 유저 로직 ↔ I2C 마스터 컨트롤러 ↔ (SDA/SCL, 외부 풀업) ↔ EEPROM(TB 모델)</v>
      </c>
      <c r="F16" s="1" t="str">
        <v>진행중</v>
      </c>
      <c r="H16" s="1" t="str">
        <v>모듈 계층 텍스트 정리 완료: TpgCtrlTop -&gt; EepRomCtrlTop -&gt; Eep24AA256. 정식 블록다이어그램(그림)은 미작성</v>
      </c>
    </row>
    <row r="17">
      <c r="A17" s="1">
        <v>16</v>
      </c>
      <c r="B17" s="1">
        <v>2</v>
      </c>
      <c r="C17" s="1" t="str">
        <v>블록 다이어그램 설계</v>
      </c>
      <c r="E17" s="1" t="str">
        <v>컨트롤러 내부 3계층 — SCL 클럭 분주기 / 비트 단위 송수신 블록 / 상위 커맨드 FSM</v>
      </c>
      <c r="F17" s="1" t="str">
        <v>대기</v>
      </c>
    </row>
    <row r="18">
      <c r="A18" s="1">
        <v>17</v>
      </c>
      <c r="B18" s="1">
        <v>2</v>
      </c>
      <c r="C18" s="1" t="str">
        <v>블록 다이어그램 설계</v>
      </c>
      <c r="E18" s="1" t="str">
        <v>I2C 쪽 신호 정의 — sda_out/sda_oe/sda_in, scl_out (클럭 스트레칭 미지원 → SCL은 마스터 단독 구동)</v>
      </c>
      <c r="F18" s="1" t="str">
        <v>대기</v>
      </c>
    </row>
    <row r="19">
      <c r="A19" s="1">
        <v>18</v>
      </c>
      <c r="B19" s="1">
        <v>2</v>
      </c>
      <c r="C19" s="1" t="str">
        <v>블록 다이어그램 설계</v>
      </c>
      <c r="E19" s="1" t="str">
        <v>유저 로직 쪽 커맨드/데이터 포트 확정 (Phase 0 초안 반영)</v>
      </c>
      <c r="F19" s="1" t="str">
        <v>진행중</v>
      </c>
      <c r="H19" s="1" t="str">
        <v>Eep24AA256 커맨드 인터페이스 초안 + EepRomCtrlTop 레지스터맵 초안까지 나옴. IfAddr 폭 등 세부 확정은 아직 (다음 작업)</v>
      </c>
    </row>
    <row r="20">
      <c r="A20" s="1">
        <v>19</v>
      </c>
      <c r="B20" s="1">
        <v>2</v>
      </c>
      <c r="C20" s="1" t="str">
        <v>블록 다이어그램 설계</v>
      </c>
      <c r="E20" s="1" t="str">
        <v>TB 레벨 블록도 — DUT(마스터) + EEPROM 비헤이비어 모델 + 풀업 모델을 하나의 top으로</v>
      </c>
      <c r="F20" s="1" t="str">
        <v>진행중</v>
      </c>
      <c r="H20" s="1" t="str">
        <v>TB 전략(AP textio 재사용 + EEPROM 비헤이비어 모델 + SDA 오픈드레인 모델링)은 텍스트로 정리됨. 정식 TB 블록도는 미작성</v>
      </c>
    </row>
    <row r="21">
      <c r="A21" s="1">
        <v>20</v>
      </c>
      <c r="B21" s="1">
        <v>3</v>
      </c>
      <c r="C21" s="1" t="str">
        <v>비트/타이밍 차트 작성</v>
      </c>
      <c r="E21" s="1" t="str">
        <v>Byte Write 파형 — START→컨트롤바이트→ACK→주소상위→ACK→주소하위→ACK→데이터→ACK→STOP</v>
      </c>
      <c r="F21" s="1" t="str">
        <v>대기</v>
      </c>
    </row>
    <row r="22">
      <c r="A22" s="1">
        <v>21</v>
      </c>
      <c r="B22" s="1">
        <v>3</v>
      </c>
      <c r="C22" s="1" t="str">
        <v>비트/타이밍 차트 작성</v>
      </c>
      <c r="E22" s="1" t="str">
        <v>Page Write 파형 — 데이터 바이트를 STOP 없이 최대 64개까지 연속</v>
      </c>
      <c r="F22" s="1" t="str">
        <v>대기</v>
      </c>
    </row>
    <row r="23">
      <c r="A23" s="1">
        <v>22</v>
      </c>
      <c r="B23" s="1">
        <v>3</v>
      </c>
      <c r="C23" s="1" t="str">
        <v>비트/타이밍 차트 작성</v>
      </c>
      <c r="E23" s="1" t="str">
        <v>Random Read 파형 — Write로 주소 세팅 → Repeated START → 컨트롤바이트(R) → ACK → 데이터 → 마스터 NACK → STOP</v>
      </c>
      <c r="F23" s="1" t="str">
        <v>대기</v>
      </c>
    </row>
    <row r="24">
      <c r="A24" s="1">
        <v>23</v>
      </c>
      <c r="B24" s="1">
        <v>3</v>
      </c>
      <c r="C24" s="1" t="str">
        <v>비트/타이밍 차트 작성</v>
      </c>
      <c r="E24" s="1" t="str">
        <v>Sequential Read 파형 — 여러 데이터 바이트, 마지막 바이트에서만 NACK</v>
      </c>
      <c r="F24" s="1" t="str">
        <v>대기</v>
      </c>
    </row>
    <row r="25">
      <c r="A25" s="1">
        <v>24</v>
      </c>
      <c r="B25" s="1">
        <v>3</v>
      </c>
      <c r="C25" s="1" t="str">
        <v>비트/타이밍 차트 작성</v>
      </c>
      <c r="E25" s="1" t="str">
        <v>타이밍 파라미터 주석 — TSU:STA, THD:STA, TSU:DAT, THD:DAT, TSU:STO</v>
      </c>
      <c r="F25" s="1" t="str">
        <v>대기</v>
      </c>
    </row>
    <row r="26">
      <c r="A26" s="1">
        <v>25</v>
      </c>
      <c r="B26" s="1">
        <v>4</v>
      </c>
      <c r="C26" s="1" t="str">
        <v>FSM 설계</v>
      </c>
      <c r="E26" s="1" t="str">
        <v>비트 레벨 FSM — SCL_LOW → SDA_SETUP → SCL_HIGH, 클럭 분주 카운터 기반</v>
      </c>
      <c r="F26" s="1" t="str">
        <v>대기</v>
      </c>
    </row>
    <row r="27">
      <c r="A27" s="1">
        <v>26</v>
      </c>
      <c r="B27" s="1">
        <v>4</v>
      </c>
      <c r="C27" s="1" t="str">
        <v>FSM 설계</v>
      </c>
      <c r="E27" s="1" t="str">
        <v>바이트 레벨 FSM — 8비트 시프트 + ACK 체크 상태, 비트 카운터</v>
      </c>
      <c r="F27" s="1" t="str">
        <v>대기</v>
      </c>
    </row>
    <row r="28">
      <c r="A28" s="1">
        <v>27</v>
      </c>
      <c r="B28" s="1">
        <v>4</v>
      </c>
      <c r="C28" s="1" t="str">
        <v>FSM 설계</v>
      </c>
      <c r="E28" s="1" t="str">
        <v>최상위 커맨드 FSM — IDLE/START/CTRL_BYTE/ADDR_H/ADDR_L/DATA(또는 REP_START 경로)/ACK_NACK/STOP</v>
      </c>
      <c r="F28" s="1" t="str">
        <v>대기</v>
      </c>
    </row>
    <row r="29">
      <c r="A29" s="1">
        <v>28</v>
      </c>
      <c r="B29" s="1">
        <v>4</v>
      </c>
      <c r="C29" s="1" t="str">
        <v>FSM 설계</v>
      </c>
      <c r="E29" s="1" t="str">
        <v>상태 전이표(state transition table) 문서화 — 입력조건/다음상태/출력</v>
      </c>
      <c r="F29" s="1" t="str">
        <v>대기</v>
      </c>
    </row>
    <row r="30">
      <c r="A30" s="1">
        <v>29</v>
      </c>
      <c r="B30" s="1">
        <v>4</v>
      </c>
      <c r="C30" s="1" t="str">
        <v>FSM 설계</v>
      </c>
      <c r="E30" s="1" t="str">
        <v>예외 상태 반영 — 슬레이브 NACK 시 재시도/에러, Page Write 64B 경계 처리</v>
      </c>
      <c r="F30" s="1" t="str">
        <v>대기</v>
      </c>
    </row>
    <row r="31">
      <c r="A31" s="1">
        <v>30</v>
      </c>
      <c r="B31" s="1">
        <v>5</v>
      </c>
      <c r="C31" s="1" t="str">
        <v>RTL 코딩(VHDL)</v>
      </c>
      <c r="E31" s="1" t="str">
        <v>entity 포트를 블록다이어그램 인터페이스와 1:1 매칭</v>
      </c>
      <c r="F31" s="1" t="str">
        <v>대기</v>
      </c>
    </row>
    <row r="32">
      <c r="A32" s="1">
        <v>31</v>
      </c>
      <c r="B32" s="1">
        <v>5</v>
      </c>
      <c r="C32" s="1" t="str">
        <v>RTL 코딩(VHDL)</v>
      </c>
      <c r="E32" s="1" t="str">
        <v>계층별 프로세스/컴포넌트 분리 — 비트 FSM / 바이트 FSM / 커맨드 FSM</v>
      </c>
      <c r="F32" s="1" t="str">
        <v>대기</v>
      </c>
    </row>
    <row r="33">
      <c r="A33" s="1">
        <v>32</v>
      </c>
      <c r="B33" s="1">
        <v>5</v>
      </c>
      <c r="C33" s="1" t="str">
        <v>RTL 코딩(VHDL)</v>
      </c>
      <c r="E33" s="1" t="str">
        <v>클럭 분주값·타이밍 상수를 generic으로 파라미터화</v>
      </c>
      <c r="F33" s="1" t="str">
        <v>대기</v>
      </c>
    </row>
    <row r="34">
      <c r="A34" s="1">
        <v>33</v>
      </c>
      <c r="B34" s="1">
        <v>5</v>
      </c>
      <c r="C34" s="1" t="str">
        <v>RTL 코딩(VHDL)</v>
      </c>
      <c r="E34" s="1" t="str">
        <v>SDA를 sda_oe + sda_out 형태로 설계 — top에서 open-drain 합성</v>
      </c>
      <c r="F34" s="1" t="str">
        <v>대기</v>
      </c>
    </row>
    <row r="35">
      <c r="A35" s="1">
        <v>34</v>
      </c>
      <c r="B35" s="1">
        <v>6</v>
      </c>
      <c r="C35" s="1" t="str">
        <v>테스트벤치 &amp; EEPROM 비헤이비어 모델</v>
      </c>
      <c r="E35" s="1" t="str">
        <v>EEPROM 모델 — START 검출 → 컨트롤바이트 주소 매칭 → ACK → 내부 메모리 배열 R/W</v>
      </c>
      <c r="F35" s="1" t="str">
        <v>대기</v>
      </c>
    </row>
    <row r="36">
      <c r="A36" s="1">
        <v>35</v>
      </c>
      <c r="B36" s="1">
        <v>6</v>
      </c>
      <c r="C36" s="1" t="str">
        <v>테스트벤치 &amp; EEPROM 비헤이비어 모델</v>
      </c>
      <c r="E36" s="1" t="str">
        <v>SDA 오픈드레인 모델링 — 풀업 프로세스 'H' 유지, 마스터/슬레이브는 '0'/'Z'만 구동</v>
      </c>
      <c r="F36" s="1" t="str">
        <v>대기</v>
      </c>
    </row>
    <row r="37">
      <c r="A37" s="1">
        <v>36</v>
      </c>
      <c r="B37" s="1">
        <v>6</v>
      </c>
      <c r="C37" s="1" t="str">
        <v>테스트벤치 &amp; EEPROM 비헤이비어 모델</v>
      </c>
      <c r="E37" s="1" t="str">
        <v>5ms 쓰기 사이클을 시뮬레이션용으로 단축 — generic/상수로 분리</v>
      </c>
      <c r="F37" s="1" t="str">
        <v>대기</v>
      </c>
    </row>
    <row r="38">
      <c r="A38" s="1">
        <v>37</v>
      </c>
      <c r="B38" s="1">
        <v>6</v>
      </c>
      <c r="C38" s="1" t="str">
        <v>테스트벤치 &amp; EEPROM 비헤이비어 모델</v>
      </c>
      <c r="E38" s="1" t="str">
        <v>Self-checking 로직 — 쓴 데이터와 읽은 데이터 자동 비교 후 PASS/FAIL 출력</v>
      </c>
      <c r="F38" s="1" t="str">
        <v>대기</v>
      </c>
    </row>
    <row r="39">
      <c r="A39" s="1">
        <v>38</v>
      </c>
      <c r="B39" s="1">
        <v>7</v>
      </c>
      <c r="C39" s="1" t="str">
        <v>시뮬레이션 &amp; 디버깅</v>
      </c>
      <c r="E39" s="1" t="str">
        <v>시나리오 — Byte Write → Readback</v>
      </c>
      <c r="F39" s="1" t="str">
        <v>대기</v>
      </c>
    </row>
    <row r="40">
      <c r="A40" s="1">
        <v>39</v>
      </c>
      <c r="B40" s="1">
        <v>7</v>
      </c>
      <c r="C40" s="1" t="str">
        <v>시뮬레이션 &amp; 디버깅</v>
      </c>
      <c r="E40" s="1" t="str">
        <v>시나리오 — Page Write(64B) → Sequential Read</v>
      </c>
      <c r="F40" s="1" t="str">
        <v>대기</v>
      </c>
    </row>
    <row r="41">
      <c r="A41" s="1">
        <v>40</v>
      </c>
      <c r="B41" s="1">
        <v>7</v>
      </c>
      <c r="C41" s="1" t="str">
        <v>시뮬레이션 &amp; 디버깅</v>
      </c>
      <c r="E41" s="1" t="str">
        <v>시나리오 — 잘못된 슬레이브 주소 → NACK 처리</v>
      </c>
      <c r="F41" s="1" t="str">
        <v>대기</v>
      </c>
    </row>
    <row r="42">
      <c r="A42" s="1">
        <v>41</v>
      </c>
      <c r="B42" s="1">
        <v>7</v>
      </c>
      <c r="C42" s="1" t="str">
        <v>시뮬레이션 &amp; 디버깅</v>
      </c>
      <c r="E42" s="1" t="str">
        <v>시나리오 — ACK Polling으로 쓰기 완료 감지</v>
      </c>
      <c r="F42" s="1" t="str">
        <v>대기</v>
      </c>
    </row>
    <row r="43">
      <c r="A43" s="1">
        <v>42</v>
      </c>
      <c r="B43" s="1">
        <v>7</v>
      </c>
      <c r="C43" s="1" t="str">
        <v>시뮬레이션 &amp; 디버깅</v>
      </c>
      <c r="E43" s="1" t="str">
        <v>파형 뷰어에서 비트 차트(Phase 3)와 실제 시뮬레이션 파형 1:1 대조</v>
      </c>
      <c r="F43" s="1" t="str">
        <v>대기</v>
      </c>
    </row>
    <row r="44">
      <c r="A44" s="1">
        <v>43</v>
      </c>
      <c r="B44" s="1">
        <v>8</v>
      </c>
      <c r="C44" s="1" t="str">
        <v>합성 &amp; 타이밍 제약(선택)</v>
      </c>
      <c r="E44" s="1" t="str">
        <v>SDA/SCL 핀을 오픈드레인 IO로 제약(XDC/SDC), 내부 풀업 옵션 확인</v>
      </c>
      <c r="F44" s="1" t="str">
        <v>대기</v>
      </c>
    </row>
    <row r="45">
      <c r="A45" s="1">
        <v>44</v>
      </c>
      <c r="B45" s="1">
        <v>8</v>
      </c>
      <c r="C45" s="1" t="str">
        <v>합성 &amp; 타이밍 제약(선택)</v>
      </c>
      <c r="E45" s="1" t="str">
        <v>목표 클럭(100/400kHz) 기준 타이밍 제약 작성</v>
      </c>
      <c r="F45" s="1" t="str">
        <v>대기</v>
      </c>
    </row>
    <row r="46">
      <c r="A46" s="1">
        <v>45</v>
      </c>
      <c r="B46" s="1">
        <v>8</v>
      </c>
      <c r="C46" s="1" t="str">
        <v>합성 &amp; 타이밍 제약(선택)</v>
      </c>
      <c r="E46" s="1" t="str">
        <v>리소스 사용량(LUT/FF) 확인 — 소규모 FSM이므로 여유 충분한지 체크</v>
      </c>
      <c r="F46" s="1" t="str">
        <v>대기</v>
      </c>
    </row>
    <row r="47">
      <c r="A47" s="1">
        <v>46</v>
      </c>
      <c r="B47" s="1">
        <v>9</v>
      </c>
      <c r="C47" s="1" t="str">
        <v>하드웨어 검증(선택)</v>
      </c>
      <c r="E47" s="1" t="str">
        <v>실제 24LC256 연결, 풀업 저항(2.2k~10kΩ) 실장</v>
      </c>
      <c r="F47" s="1" t="str">
        <v>대기</v>
      </c>
    </row>
    <row r="48">
      <c r="A48" s="1">
        <v>47</v>
      </c>
      <c r="B48" s="1">
        <v>9</v>
      </c>
      <c r="C48" s="1" t="str">
        <v>하드웨어 검증(선택)</v>
      </c>
      <c r="E48" s="1" t="str">
        <v>로직 애널라이저로 Table 1-3 타이밍과 실측 파형 비교</v>
      </c>
      <c r="F48" s="1" t="str">
        <v>대기</v>
      </c>
    </row>
    <row r="49">
      <c r="A49" s="1">
        <v>48</v>
      </c>
      <c r="B49" s="1">
        <v>10</v>
      </c>
      <c r="C49" s="1" t="str">
        <v>문서화 &amp; 회고</v>
      </c>
      <c r="E49" s="1" t="str">
        <v>상태도 / 블록다이어그램 / 타이밍차트를 하나의 설계 문서로 정리</v>
      </c>
      <c r="F49" s="1" t="str">
        <v>대기</v>
      </c>
    </row>
    <row r="50">
      <c r="A50" s="1">
        <v>49</v>
      </c>
      <c r="B50" s="1">
        <v>10</v>
      </c>
      <c r="C50" s="1" t="str">
        <v>문서화 &amp; 회고</v>
      </c>
      <c r="E50" s="1" t="str">
        <v>테스트 결과 리포트 — 구현한 오퍼레이션 각각 1회 이상 검증했는지 커버리지 확인</v>
      </c>
      <c r="F50" s="1" t="str">
        <v>대기</v>
      </c>
    </row>
    <row r="51">
      <c r="A51" s="1">
        <v>50</v>
      </c>
      <c r="B51" s="1">
        <v>10</v>
      </c>
      <c r="C51" s="1" t="str">
        <v>문서화 &amp; 회고</v>
      </c>
      <c r="E51" s="1" t="str">
        <v>다음 실습 후보 정리 — SPI, 멀티 슬레이브 I2C, 클럭 스트레칭 지원 디바이스 등</v>
      </c>
      <c r="F51" s="1" t="str">
        <v>대기</v>
      </c>
    </row>
    <row r="53">
      <c r="A53" s="1" t="str">
        <v>사용법</v>
      </c>
    </row>
    <row r="54">
      <c r="A54" s="1" t="str">
        <v>① F열(상태): 드롭다운에서 대기 / 진행중 / 완료 중 선택하세요.</v>
      </c>
    </row>
    <row r="55">
      <c r="A55" s="1" t="str">
        <v>② G열(완료일): 완료 시 날짜를 입력하세요.</v>
      </c>
    </row>
    <row r="56">
      <c r="A56" s="1" t="str">
        <v>③ H열(비고): 막힌 부분이나 메모를 자유롭게 적으세요.</v>
      </c>
    </row>
    <row r="57">
      <c r="A57" s="1" t="str">
        <v>④ A~E열(No/Phase/단계명/구분/체크 항목)은 로드맵 구조이니 수정하지 않는 걸 권장합니다.</v>
      </c>
    </row>
    <row r="58">
      <c r="A58" s="1" t="str">
        <v>⑤ '대시보드' 시트에서 Phase별 진행률이 자동으로 집계됩니다.</v>
      </c>
    </row>
  </sheetData>
  <autoFilter ref="A1:H51"/>
  <mergeCells count="5">
    <mergeCell ref="A54:H54"/>
    <mergeCell ref="A55:H55"/>
    <mergeCell ref="A56:H56"/>
    <mergeCell ref="A57:H57"/>
    <mergeCell ref="A58:H58"/>
  </mergeCells>
  <pageMargins left="0.75" right="0.75" top="1" bottom="1" header="0.511811023622047" footer="0.511811023622047"/>
  <ignoredErrors>
    <ignoredError numberStoredAsText="1" sqref="A1:H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 rightToLeft="0"/>
  </sheetViews>
  <sheetData>
    <row r="1">
      <c r="A1" s="1" t="str">
        <v>Phase</v>
      </c>
      <c r="B1" s="1" t="str">
        <v>단계명</v>
      </c>
      <c r="C1" s="1" t="str">
        <v>항목수</v>
      </c>
      <c r="D1" s="1" t="str">
        <v>완료수</v>
      </c>
      <c r="E1" s="1" t="str">
        <v>진행률</v>
      </c>
    </row>
    <row r="2">
      <c r="A2" s="1">
        <v>0</v>
      </c>
      <c r="B2" s="1" t="str">
        <v>요구사항 정의</v>
      </c>
      <c r="C2" s="1">
        <f>COUNTIF(체크리스트!$B$2:$B$51,A2)</f>
        <v>5</v>
      </c>
      <c r="D2" s="1">
        <f>COUNTIFS(체크리스트!$B$2:$B$51,A2,체크리스트!$F$2:$F$51,"완료")</f>
        <v>1</v>
      </c>
      <c r="E2" s="1">
        <f>IFERROR(D2/C2,0)</f>
        <v>0.2</v>
      </c>
    </row>
    <row r="3">
      <c r="A3" s="1">
        <v>1</v>
      </c>
      <c r="B3" s="1" t="str">
        <v>데이터시트 스터디(DS21203C)</v>
      </c>
      <c r="C3" s="1">
        <f>COUNTIF(체크리스트!$B$2:$B$51,A3)</f>
        <v>9</v>
      </c>
      <c r="D3" s="1">
        <f>COUNTIFS(체크리스트!$B$2:$B$51,A3,체크리스트!$F$2:$F$51,"완료")</f>
        <v>0</v>
      </c>
      <c r="E3" s="1">
        <f>IFERROR(D3/C3,0)</f>
        <v>0</v>
      </c>
    </row>
    <row r="4">
      <c r="A4" s="1">
        <v>2</v>
      </c>
      <c r="B4" s="1" t="str">
        <v>블록 다이어그램 설계</v>
      </c>
      <c r="C4" s="1">
        <f>COUNTIF(체크리스트!$B$2:$B$51,A4)</f>
        <v>5</v>
      </c>
      <c r="D4" s="1">
        <f>COUNTIFS(체크리스트!$B$2:$B$51,A4,체크리스트!$F$2:$F$51,"완료")</f>
        <v>0</v>
      </c>
      <c r="E4" s="1">
        <f>IFERROR(D4/C4,0)</f>
        <v>0</v>
      </c>
    </row>
    <row r="5">
      <c r="A5" s="1">
        <v>3</v>
      </c>
      <c r="B5" s="1" t="str">
        <v>비트/타이밍 차트 작성</v>
      </c>
      <c r="C5" s="1">
        <f>COUNTIF(체크리스트!$B$2:$B$51,A5)</f>
        <v>5</v>
      </c>
      <c r="D5" s="1">
        <f>COUNTIFS(체크리스트!$B$2:$B$51,A5,체크리스트!$F$2:$F$51,"완료")</f>
        <v>0</v>
      </c>
      <c r="E5" s="1">
        <f>IFERROR(D5/C5,0)</f>
        <v>0</v>
      </c>
    </row>
    <row r="6">
      <c r="A6" s="1">
        <v>4</v>
      </c>
      <c r="B6" s="1" t="str">
        <v>FSM 설계</v>
      </c>
      <c r="C6" s="1">
        <f>COUNTIF(체크리스트!$B$2:$B$51,A6)</f>
        <v>5</v>
      </c>
      <c r="D6" s="1">
        <f>COUNTIFS(체크리스트!$B$2:$B$51,A6,체크리스트!$F$2:$F$51,"완료")</f>
        <v>0</v>
      </c>
      <c r="E6" s="1">
        <f>IFERROR(D6/C6,0)</f>
        <v>0</v>
      </c>
    </row>
    <row r="7">
      <c r="A7" s="1">
        <v>5</v>
      </c>
      <c r="B7" s="1" t="str">
        <v>RTL 코딩(VHDL)</v>
      </c>
      <c r="C7" s="1">
        <f>COUNTIF(체크리스트!$B$2:$B$51,A7)</f>
        <v>4</v>
      </c>
      <c r="D7" s="1">
        <f>COUNTIFS(체크리스트!$B$2:$B$51,A7,체크리스트!$F$2:$F$51,"완료")</f>
        <v>0</v>
      </c>
      <c r="E7" s="1">
        <f>IFERROR(D7/C7,0)</f>
        <v>0</v>
      </c>
    </row>
    <row r="8">
      <c r="A8" s="1">
        <v>6</v>
      </c>
      <c r="B8" s="1" t="str">
        <v>테스트벤치 &amp; EEPROM 비헤이비어 모델</v>
      </c>
      <c r="C8" s="1">
        <f>COUNTIF(체크리스트!$B$2:$B$51,A8)</f>
        <v>4</v>
      </c>
      <c r="D8" s="1">
        <f>COUNTIFS(체크리스트!$B$2:$B$51,A8,체크리스트!$F$2:$F$51,"완료")</f>
        <v>0</v>
      </c>
      <c r="E8" s="1">
        <f>IFERROR(D8/C8,0)</f>
        <v>0</v>
      </c>
    </row>
    <row r="9">
      <c r="A9" s="1">
        <v>7</v>
      </c>
      <c r="B9" s="1" t="str">
        <v>시뮬레이션 &amp; 디버깅</v>
      </c>
      <c r="C9" s="1">
        <f>COUNTIF(체크리스트!$B$2:$B$51,A9)</f>
        <v>5</v>
      </c>
      <c r="D9" s="1">
        <f>COUNTIFS(체크리스트!$B$2:$B$51,A9,체크리스트!$F$2:$F$51,"완료")</f>
        <v>0</v>
      </c>
      <c r="E9" s="1">
        <f>IFERROR(D9/C9,0)</f>
        <v>0</v>
      </c>
    </row>
    <row r="10">
      <c r="A10" s="1">
        <v>8</v>
      </c>
      <c r="B10" s="1" t="str">
        <v>합성 &amp; 타이밍 제약(선택)</v>
      </c>
      <c r="C10" s="1">
        <f>COUNTIF(체크리스트!$B$2:$B$51,A10)</f>
        <v>3</v>
      </c>
      <c r="D10" s="1">
        <f>COUNTIFS(체크리스트!$B$2:$B$51,A10,체크리스트!$F$2:$F$51,"완료")</f>
        <v>0</v>
      </c>
      <c r="E10" s="1">
        <f>IFERROR(D10/C10,0)</f>
        <v>0</v>
      </c>
    </row>
    <row r="11">
      <c r="A11" s="1">
        <v>9</v>
      </c>
      <c r="B11" s="1" t="str">
        <v>하드웨어 검증(선택)</v>
      </c>
      <c r="C11" s="1">
        <f>COUNTIF(체크리스트!$B$2:$B$51,A11)</f>
        <v>2</v>
      </c>
      <c r="D11" s="1">
        <f>COUNTIFS(체크리스트!$B$2:$B$51,A11,체크리스트!$F$2:$F$51,"완료")</f>
        <v>0</v>
      </c>
      <c r="E11" s="1">
        <f>IFERROR(D11/C11,0)</f>
        <v>0</v>
      </c>
    </row>
    <row r="12">
      <c r="A12" s="1">
        <v>10</v>
      </c>
      <c r="B12" s="1" t="str">
        <v>문서화 &amp; 회고</v>
      </c>
      <c r="C12" s="1">
        <f>COUNTIF(체크리스트!$B$2:$B$51,A12)</f>
        <v>3</v>
      </c>
      <c r="D12" s="1">
        <f>COUNTIFS(체크리스트!$B$2:$B$51,A12,체크리스트!$F$2:$F$51,"완료")</f>
        <v>0</v>
      </c>
      <c r="E12" s="1">
        <f>IFERROR(D12/C12,0)</f>
        <v>0</v>
      </c>
    </row>
    <row r="13">
      <c r="A13" s="1" t="str">
        <v>합계</v>
      </c>
      <c r="B13" s="1" t="str">
        <v>전체</v>
      </c>
      <c r="C13" s="1">
        <f>SUM(C2:C12)</f>
        <v>50</v>
      </c>
      <c r="D13" s="1">
        <f>SUM(D2:D12)</f>
        <v>1</v>
      </c>
      <c r="E13" s="1">
        <f>IFERROR(D13/C13,0)</f>
        <v>0.02</v>
      </c>
    </row>
  </sheetData>
  <pageMargins left="0.75" right="0.75" top="1" bottom="1" header="0.511811023622047" footer="0.511811023622047"/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체크리스트</vt:lpstr>
      <vt:lpstr>대시보드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2026-09-04T00:47:57Z</dcterms:created>
  <dcterms:modified xsi:type="dcterms:W3CDTF">2026-09-04T00:48:06Z</dcterms:modified>
  <cp:revision>1</cp:revision>
  <dc:creator>openpyxl</dc:creator>
  <dc:language>en-US</dc:language>
</cp:coreProperties>
</file>